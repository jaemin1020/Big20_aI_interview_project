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0" yWindow="0" windowWidth="28800" windowHeight="11295" activeTab="2"/>
  </bookViews>
  <sheets>
    <sheet name="개정이력" sheetId="4" r:id="rId1"/>
    <sheet name="사용 가이드" sheetId="5" r:id="rId2"/>
    <sheet name="WBS_상세업무정리" sheetId="1" r:id="rId3"/>
  </sheets>
  <definedNames>
    <definedName name="_xlnm._FilterDatabase" localSheetId="2" hidden="1">WBS_상세업무정리!$A$1:$O$40</definedName>
  </definedNames>
  <calcPr calcId="162913"/>
</workbook>
</file>

<file path=xl/calcChain.xml><?xml version="1.0" encoding="utf-8"?>
<calcChain xmlns="http://schemas.openxmlformats.org/spreadsheetml/2006/main">
  <c r="M15" i="1" l="1"/>
  <c r="J15" i="1" l="1"/>
  <c r="J23" i="1"/>
  <c r="J24" i="1"/>
  <c r="J25" i="1"/>
  <c r="J26" i="1"/>
  <c r="J27" i="1"/>
  <c r="J28" i="1"/>
  <c r="J29" i="1"/>
  <c r="J30" i="1"/>
  <c r="J32" i="1"/>
  <c r="J33" i="1"/>
  <c r="J31" i="1"/>
  <c r="J34" i="1"/>
  <c r="J35" i="1"/>
  <c r="J36" i="1"/>
  <c r="J37" i="1"/>
  <c r="J38" i="1"/>
  <c r="J39" i="1"/>
  <c r="J40" i="1"/>
  <c r="M10" i="1" l="1"/>
  <c r="M3" i="1"/>
  <c r="M4" i="1"/>
  <c r="M5" i="1"/>
  <c r="M6" i="1"/>
  <c r="M7" i="1"/>
  <c r="M8" i="1"/>
  <c r="M9" i="1"/>
  <c r="M11" i="1"/>
  <c r="M12" i="1"/>
  <c r="M13" i="1"/>
  <c r="M14" i="1"/>
  <c r="M16" i="1"/>
  <c r="M17" i="1"/>
  <c r="M18" i="1"/>
  <c r="M19" i="1"/>
  <c r="M20" i="1"/>
  <c r="M21" i="1"/>
  <c r="M22" i="1"/>
  <c r="M24" i="1"/>
  <c r="M26" i="1"/>
  <c r="M27" i="1"/>
  <c r="M29" i="1"/>
  <c r="M31" i="1"/>
  <c r="M30" i="1"/>
  <c r="M34" i="1"/>
  <c r="M35" i="1"/>
  <c r="M32" i="1"/>
  <c r="M37" i="1"/>
  <c r="M38" i="1"/>
  <c r="M40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<sst xmlns="http://schemas.openxmlformats.org/spreadsheetml/2006/main" count="253" uniqueCount="220">
  <si>
    <t>WBS Level</t>
  </si>
  <si>
    <t>작업명</t>
  </si>
  <si>
    <t>비고</t>
  </si>
  <si>
    <t>총 작업량(MD)</t>
  </si>
  <si>
    <t>계획 작업량(MD)</t>
  </si>
  <si>
    <t>담당</t>
  </si>
  <si>
    <t>1</t>
  </si>
  <si>
    <t>프로젝트 관리</t>
  </si>
  <si>
    <t>함유라</t>
  </si>
  <si>
    <t>1.1</t>
  </si>
  <si>
    <t>프로젝트 착수 및 계획수립</t>
  </si>
  <si>
    <t>1.1.1</t>
  </si>
  <si>
    <t>Kick-off</t>
  </si>
  <si>
    <t>1.1.2</t>
  </si>
  <si>
    <t>프로젝트 범위 정의</t>
  </si>
  <si>
    <t>1.2</t>
  </si>
  <si>
    <t>프로젝트 수행 및 통제</t>
  </si>
  <si>
    <t>1.2.1</t>
  </si>
  <si>
    <t>1.3</t>
  </si>
  <si>
    <t>프로젝트 종료</t>
  </si>
  <si>
    <t>2</t>
  </si>
  <si>
    <t>시스템 개발</t>
  </si>
  <si>
    <t>엄재민</t>
  </si>
  <si>
    <t>2.1</t>
  </si>
  <si>
    <t>기획 및 요구사항 분석</t>
  </si>
  <si>
    <t>2.1.1</t>
  </si>
  <si>
    <t>요구사항 정의</t>
  </si>
  <si>
    <t>SRS/RFB</t>
  </si>
  <si>
    <t>이승재</t>
  </si>
  <si>
    <t>2.2</t>
  </si>
  <si>
    <t>2.2.1</t>
  </si>
  <si>
    <t>2.2.2</t>
  </si>
  <si>
    <t>DB/ERD 설계</t>
  </si>
  <si>
    <t>PostgreSQL</t>
  </si>
  <si>
    <t>2.2.3</t>
  </si>
  <si>
    <t>VectorDB 설계</t>
  </si>
  <si>
    <t>Pinecone</t>
  </si>
  <si>
    <t>2.3</t>
  </si>
  <si>
    <t>2.3.3</t>
  </si>
  <si>
    <t>FastAPI</t>
  </si>
  <si>
    <t>2.4.2</t>
  </si>
  <si>
    <t>2.4.3</t>
  </si>
  <si>
    <t>감정분석 워커</t>
  </si>
  <si>
    <t>2.4.4</t>
  </si>
  <si>
    <t>최종 보고 및 운영</t>
  </si>
  <si>
    <t>함유라,엄재민</t>
    <phoneticPr fontId="2" type="noConversion"/>
  </si>
  <si>
    <t>모델 설계</t>
    <phoneticPr fontId="2" type="noConversion"/>
  </si>
  <si>
    <t>RAG 설계</t>
    <phoneticPr fontId="2" type="noConversion"/>
  </si>
  <si>
    <t>조윤재</t>
    <phoneticPr fontId="2" type="noConversion"/>
  </si>
  <si>
    <t>김린</t>
    <phoneticPr fontId="2" type="noConversion"/>
  </si>
  <si>
    <t>함유라</t>
    <phoneticPr fontId="2" type="noConversion"/>
  </si>
  <si>
    <t>2.2.4</t>
  </si>
  <si>
    <t>AI/시스템 설계</t>
    <phoneticPr fontId="2" type="noConversion"/>
  </si>
  <si>
    <t>시작 예정일</t>
    <phoneticPr fontId="2" type="noConversion"/>
  </si>
  <si>
    <t>완료 예정일</t>
    <phoneticPr fontId="2" type="noConversion"/>
  </si>
  <si>
    <t>실제 시작일</t>
    <phoneticPr fontId="2" type="noConversion"/>
  </si>
  <si>
    <t>실제 완료일</t>
    <phoneticPr fontId="2" type="noConversion"/>
  </si>
  <si>
    <t>예상 소요일</t>
    <phoneticPr fontId="2" type="noConversion"/>
  </si>
  <si>
    <t>실제 소요일</t>
    <phoneticPr fontId="2" type="noConversion"/>
  </si>
  <si>
    <t>프로젝트 중간 보고</t>
    <phoneticPr fontId="2" type="noConversion"/>
  </si>
  <si>
    <t>엄재민,함유라</t>
    <phoneticPr fontId="2" type="noConversion"/>
  </si>
  <si>
    <t>테스트 설계</t>
    <phoneticPr fontId="2" type="noConversion"/>
  </si>
  <si>
    <t>통합 테스트 진행</t>
    <phoneticPr fontId="2" type="noConversion"/>
  </si>
  <si>
    <t>권준호</t>
    <phoneticPr fontId="2" type="noConversion"/>
  </si>
  <si>
    <t>DB 연동</t>
    <phoneticPr fontId="2" type="noConversion"/>
  </si>
  <si>
    <t>이승재</t>
    <phoneticPr fontId="2" type="noConversion"/>
  </si>
  <si>
    <t>시스템 아키텍처 설계</t>
    <phoneticPr fontId="2" type="noConversion"/>
  </si>
  <si>
    <t xml:space="preserve">시스템 인프라 구축 </t>
    <phoneticPr fontId="2" type="noConversion"/>
  </si>
  <si>
    <t>실행 환경 구축(로컬 / 서버 / GPU 환경 /Python 환경),컨테이너·배포 구조 설계,성능·확장 고려(STT·LLM 병목 분리,비동기 처리 설계,동시 면접 세션 처리 고려)</t>
    <phoneticPr fontId="2" type="noConversion"/>
  </si>
  <si>
    <t>화면정의서 구축</t>
    <phoneticPr fontId="2" type="noConversion"/>
  </si>
  <si>
    <t>요구 데이터 정의,테이블도출,관계(1:N, N:M) 정의,키/제약조건 설계,데이터 타입/길이/정규화 수준 결정</t>
    <phoneticPr fontId="2" type="noConversion"/>
  </si>
  <si>
    <t>김린</t>
    <phoneticPr fontId="2" type="noConversion"/>
  </si>
  <si>
    <t>음성·영상·텍스트 입력부터 AI 평가·질문 생성·결과 제공까지의 전체 처리 흐름과 구성 요소를 설계, 전체 시스템 구성도(사용자 ↔ 서버 ↔ AI 모델 ↔ DB 간 데이터 흐름 정의),멀티모달 처리 파이프라인 설계,LLM 기반 평가·질문 생성 구조 설계,데이터 저장 구조(DB) 설계,서버·서비스 분리 설계, 모델 운영 방식 설계</t>
    <phoneticPr fontId="2" type="noConversion"/>
  </si>
  <si>
    <t>AI 기능 모듈 역할 분리,상태(State) 기반 흐름 설계,평가 기준(루브릭) 범위,합산 방법, 근거 로그 일관된 기준으로 설계,RAG/VectorDB 참조 여부 선정</t>
    <phoneticPr fontId="2" type="noConversion"/>
  </si>
  <si>
    <t>벡터화 대상 정의,메타데이터 설계,임베딩 전략 설계,컬렉션(인덱스) 분리 설계,검색(Retrieval) 방식 정의,RAG 파이프라인 연결 설계</t>
    <phoneticPr fontId="2" type="noConversion"/>
  </si>
  <si>
    <t>트랜잭션 처리,중복 저장 방지,비동기 처리,면접 세션 생성 &amp; 저장,질문·답변 턴 저장,STT 결과 연동,영상 분석 결과 연동,LLM 평가 결과 저장,면접 상태(State) 갱신,결과 리포트 조회 연동</t>
    <phoneticPr fontId="2" type="noConversion"/>
  </si>
  <si>
    <t>음성,영상 파일 경로 입력 데이터 수신,전처리 수행,감정 추론 실행,결과 정규화 및 집계,DB 저장 연동,실패/재시도 처리</t>
    <phoneticPr fontId="2" type="noConversion"/>
  </si>
  <si>
    <t>조윤재</t>
    <phoneticPr fontId="2" type="noConversion"/>
  </si>
  <si>
    <t>화면 목록 정의,화면별 구성 요소 정의,사용자 액션 정의,화면 전환 조건 정의,AI 연동 정보 정의</t>
    <phoneticPr fontId="2" type="noConversion"/>
  </si>
  <si>
    <t>테스트 설계의 전체 범위,영역별 테스트 설계 내용,테스트 케이스 구성 요소 설계,테스트 데이터 설계</t>
    <phoneticPr fontId="2" type="noConversion"/>
  </si>
  <si>
    <t>전체 플로우를 실제 사용자 시나리오로 검증하는 작업</t>
    <phoneticPr fontId="2" type="noConversion"/>
  </si>
  <si>
    <t>ALL</t>
    <phoneticPr fontId="2" type="noConversion"/>
  </si>
  <si>
    <t>ALL</t>
    <phoneticPr fontId="2" type="noConversion"/>
  </si>
  <si>
    <t>사용자 시나리오 기획</t>
    <phoneticPr fontId="2" type="noConversion"/>
  </si>
  <si>
    <t>API 세부 단위 기능 분리, 화면 이벤트 기준 API 정의, 요청(Request) / 응답(Response) 스키마 정의,상태(State) 기반 설계, 비동기 처리 API 설계, 오류/예외 응답 설계</t>
    <phoneticPr fontId="2" type="noConversion"/>
  </si>
  <si>
    <t>시스템 데이터 설계</t>
    <phoneticPr fontId="2" type="noConversion"/>
  </si>
  <si>
    <t>데이터 수립 설계</t>
    <phoneticPr fontId="2" type="noConversion"/>
  </si>
  <si>
    <t>데이터 흐름 설계, 데이터 저장소 설계, 핵심 데이터 구조 정의, 상태(State) 데이터 설계, DB 연동 기준 정의, 데이터 활용 기준 정의</t>
    <phoneticPr fontId="2" type="noConversion"/>
  </si>
  <si>
    <t>데이터 요구사항 정의,데이터 소스 선정 및 수집 전략 수립,데이터 스키마 설계,라벨링 기준 설계,데이터 규모 계획,데이터 분할/평가셋 설계,</t>
    <phoneticPr fontId="2" type="noConversion"/>
  </si>
  <si>
    <t>모델 검증</t>
    <phoneticPr fontId="2" type="noConversion"/>
  </si>
  <si>
    <t>이승재,조윤재</t>
    <phoneticPr fontId="2" type="noConversion"/>
  </si>
  <si>
    <t>사용자 행동 기준으로 시나리오 단계 정의</t>
    <phoneticPr fontId="2" type="noConversion"/>
  </si>
  <si>
    <t>1.1.3</t>
    <phoneticPr fontId="2" type="noConversion"/>
  </si>
  <si>
    <t>2.2.5</t>
  </si>
  <si>
    <t>2.2.6</t>
  </si>
  <si>
    <t>2.4.1</t>
    <phoneticPr fontId="2" type="noConversion"/>
  </si>
  <si>
    <t>백엔드&amp;프로트엔드</t>
    <phoneticPr fontId="2" type="noConversion"/>
  </si>
  <si>
    <t>2.3.1</t>
    <phoneticPr fontId="2" type="noConversion"/>
  </si>
  <si>
    <t>2.3.4</t>
  </si>
  <si>
    <t>2.4.5</t>
  </si>
  <si>
    <t>이승재</t>
    <phoneticPr fontId="2" type="noConversion"/>
  </si>
  <si>
    <t>프로젝트 전 기간(착수~종료)을 계획대로 진행되도록 관리·조정</t>
    <phoneticPr fontId="2" type="noConversion"/>
  </si>
  <si>
    <t>프로젝트를 공식적으로 시작하고, 무엇을, 언제까지, 어떻게 할지를 문서로 확정</t>
    <phoneticPr fontId="2" type="noConversion"/>
  </si>
  <si>
    <t>무엇을 할지 / 무엇은 하지 않을지를 명확히 정하는 작업, 세부 기능 및 설계 내용 정리</t>
    <phoneticPr fontId="2" type="noConversion"/>
  </si>
  <si>
    <t>프로젝트를 시작하기로 내부 합의하고 실행에 들어가는 단계</t>
    <phoneticPr fontId="2" type="noConversion"/>
  </si>
  <si>
    <t xml:space="preserve">프로젝트 착수 </t>
    <phoneticPr fontId="2" type="noConversion"/>
  </si>
  <si>
    <t>프로젝트 시작 내용을 공식 문서로 보고·공유</t>
    <phoneticPr fontId="2" type="noConversion"/>
  </si>
  <si>
    <t>계획에 따라 프로젝트를 실행하면서 동시에 관리·조정하는 단계</t>
    <phoneticPr fontId="2" type="noConversion"/>
  </si>
  <si>
    <t>현재까지 진행 상황을 점검하고 방향을 조정하는 공식 보고</t>
    <phoneticPr fontId="2" type="noConversion"/>
  </si>
  <si>
    <t>프로젝트를 공식적으로 마무리하고 결과를 정리하는 단계</t>
    <phoneticPr fontId="2" type="noConversion"/>
  </si>
  <si>
    <t>프로젝트의 목적을 기준으로 사용자·시스템·비즈니스 요구를 수집하고 정리하는 단계</t>
    <phoneticPr fontId="2" type="noConversion"/>
  </si>
  <si>
    <t>수집·분석한 요구를 개발·설계가 가능하도록 구체적이고 명확한 문장으로 확정</t>
    <phoneticPr fontId="2" type="noConversion"/>
  </si>
  <si>
    <t>결함 조치 및 성능 개선</t>
    <phoneticPr fontId="2" type="noConversion"/>
  </si>
  <si>
    <t>함유라</t>
    <phoneticPr fontId="4" type="noConversion"/>
  </si>
  <si>
    <t>0.0.1</t>
    <phoneticPr fontId="4" type="noConversion"/>
  </si>
  <si>
    <t>비고</t>
    <phoneticPr fontId="4" type="noConversion"/>
  </si>
  <si>
    <t>수정버전</t>
    <phoneticPr fontId="4" type="noConversion"/>
  </si>
  <si>
    <t>수정일자</t>
    <phoneticPr fontId="4" type="noConversion"/>
  </si>
  <si>
    <t>수정자</t>
    <phoneticPr fontId="4" type="noConversion"/>
  </si>
  <si>
    <t>변경내용</t>
    <phoneticPr fontId="4" type="noConversion"/>
  </si>
  <si>
    <t>변경시트</t>
    <phoneticPr fontId="4" type="noConversion"/>
  </si>
  <si>
    <t>No.</t>
    <phoneticPr fontId="4" type="noConversion"/>
  </si>
  <si>
    <t>사용법</t>
    <phoneticPr fontId="4" type="noConversion"/>
  </si>
  <si>
    <t>시트명</t>
    <phoneticPr fontId="4" type="noConversion"/>
  </si>
  <si>
    <t>사용규칙</t>
    <phoneticPr fontId="4" type="noConversion"/>
  </si>
  <si>
    <t>Description</t>
    <phoneticPr fontId="4" type="noConversion"/>
  </si>
  <si>
    <t>함유라</t>
    <phoneticPr fontId="4" type="noConversion"/>
  </si>
  <si>
    <t>파일 관리자</t>
    <phoneticPr fontId="4" type="noConversion"/>
  </si>
  <si>
    <t>ALL</t>
    <phoneticPr fontId="4" type="noConversion"/>
  </si>
  <si>
    <t>사용 대상</t>
    <phoneticPr fontId="4" type="noConversion"/>
  </si>
  <si>
    <t>목적</t>
    <phoneticPr fontId="4" type="noConversion"/>
  </si>
  <si>
    <t>파일명</t>
    <phoneticPr fontId="4" type="noConversion"/>
  </si>
  <si>
    <t>WBS_상세업무정리</t>
    <phoneticPr fontId="4" type="noConversion"/>
  </si>
  <si>
    <t>프로젝트 진행 초기 WBS  일정 및 세부 TASK 수립</t>
    <phoneticPr fontId="4" type="noConversion"/>
  </si>
  <si>
    <t>Task Description</t>
    <phoneticPr fontId="2" type="noConversion"/>
  </si>
  <si>
    <t>시스템 및 스텍 기반 세부 Task Description 추가 및 일정 조율 완료</t>
    <phoneticPr fontId="2" type="noConversion"/>
  </si>
  <si>
    <t>WBS_상세업무정리</t>
    <phoneticPr fontId="4" type="noConversion"/>
  </si>
  <si>
    <t>WBS_상세업무정리</t>
    <phoneticPr fontId="4" type="noConversion"/>
  </si>
  <si>
    <t>프로젝트 전 기간 동안 업무 계획 수립,진행 현황 관리 ,산출물 추적,역할 책임 명확화를 일관되게 관리하고 통합하기 위함</t>
    <phoneticPr fontId="2" type="noConversion"/>
  </si>
  <si>
    <t>프로젝트를 구성하는 모든 업무를 계층 구조(WBS Level) 로 세분화하고,각 업무의 내용·기간·작업량·담당·산출물을 한눈에 관리하기 위한 핵심 시트</t>
    <phoneticPr fontId="2" type="noConversion"/>
  </si>
  <si>
    <t>1.0.0</t>
    <phoneticPr fontId="4" type="noConversion"/>
  </si>
  <si>
    <t>프로젝트 착수 보고</t>
    <phoneticPr fontId="2" type="noConversion"/>
  </si>
  <si>
    <t>모델 구현</t>
    <phoneticPr fontId="2" type="noConversion"/>
  </si>
  <si>
    <t>조윤재,이승재,엄재민,함유라</t>
    <phoneticPr fontId="2" type="noConversion"/>
  </si>
  <si>
    <t>PoC 검증</t>
    <phoneticPr fontId="2" type="noConversion"/>
  </si>
  <si>
    <t>조윤재,이승재</t>
    <phoneticPr fontId="2" type="noConversion"/>
  </si>
  <si>
    <t>기능 범위 정의,모델 타입/전략 결정,입·출력 스펙 설계,데이터 요구사항 정의,프롬프트/구조화 출력 설계,성능/제약 조건 정의,교체 가능 구조 설계,리스크 및 오픈이슈 정리 기반으로 초기 모델 설계</t>
    <phoneticPr fontId="2" type="noConversion"/>
  </si>
  <si>
    <t>검증 목표/범위 확정,검증 환경 고정,기능 검증(동작 여부),안정성 검증,실패 케이스 수집/분석,기본 성능 sanity 체크,리소스 1차 확인,로그/추적성 확인,결론 도출</t>
    <phoneticPr fontId="2" type="noConversion"/>
  </si>
  <si>
    <t>설계 기반 모델 호출 모듈 개발,프롬프트/출력 파서 구현,테스트 데이터 연결,API/서비스 연동 포인트 준비(이승재 협업),간단한 저장/로깅 붙이기,동작 확인 스크립트 제공,1차 품질 기준 확인</t>
    <phoneticPr fontId="2" type="noConversion"/>
  </si>
  <si>
    <t>프롬프트 설계</t>
    <phoneticPr fontId="2" type="noConversion"/>
  </si>
  <si>
    <t>김린,이승재</t>
    <phoneticPr fontId="2" type="noConversion"/>
  </si>
  <si>
    <t>LLM 구현</t>
    <phoneticPr fontId="2" type="noConversion"/>
  </si>
  <si>
    <t>RAG 구현</t>
    <phoneticPr fontId="2" type="noConversion"/>
  </si>
  <si>
    <t>지식 적재 파이프라인 구현(LangChain) ,Retrieval 검색 함수 구현, Top-K, threshold 설정,컨텍스트 정제 규칙 모듈 구현,실패·Fallback 로직 구현</t>
    <phoneticPr fontId="2" type="noConversion"/>
  </si>
  <si>
    <t>LLM 호출 및 출력 파싱 모듈 구현,프롬프트 템플릿 구현,서비스 연동 구현(API/화면/State-이승재협업)</t>
    <phoneticPr fontId="2" type="noConversion"/>
  </si>
  <si>
    <t>프롬프트 템플릿 세트,LLM 호출 모듈</t>
  </si>
  <si>
    <t>참조 지식 범위 정의,문서 구조화 &amp; Chunk 전략,컨텍스트 정제,Retrieval 전략 설계,Fallback 설계</t>
    <phoneticPr fontId="2" type="noConversion"/>
  </si>
  <si>
    <t>시스템 프롬프트 페르소나 설계,태스크별 프롬프트 설계,RAG 컨텍스트 주입 구조 설계,구조화 출력 설계,프롬프트 실패 대응 설계</t>
    <phoneticPr fontId="2" type="noConversion"/>
  </si>
  <si>
    <t>UI 화면</t>
  </si>
  <si>
    <t>UI 구현</t>
    <phoneticPr fontId="2" type="noConversion"/>
  </si>
  <si>
    <t>UI/대시보드 설계</t>
    <phoneticPr fontId="2" type="noConversion"/>
  </si>
  <si>
    <t>면접 진행 화면 구성,실시간 상태 표시,화면 전환 로직 연동,오류/예외 UI 설계</t>
    <phoneticPr fontId="2" type="noConversion"/>
  </si>
  <si>
    <t>React 기반 UI 개발,컴포넌트 단위 화면 구성, Fast API 연동을 통한 데이터 바인딩 ,비동기 통신 처리 (로딩/대기 상태 관리), 라우팅 기반 화면 전환 처리,에러/예외 처리 UI 구현</t>
    <phoneticPr fontId="2" type="noConversion"/>
  </si>
  <si>
    <t>모델, RAG, 프롬프트, 감정분석 워커, API, DB, UI를 하나의 실행 흐름으로 통합하여, 입력부터 결과 출력까지 전 과정이 실제로 동작하는 1차 End-to-End AI 면접 프로토타입 시스템을 구현</t>
    <phoneticPr fontId="2" type="noConversion"/>
  </si>
  <si>
    <t>통합 구현</t>
    <phoneticPr fontId="2" type="noConversion"/>
  </si>
  <si>
    <t>1차 테스트모델</t>
    <phoneticPr fontId="2" type="noConversion"/>
  </si>
  <si>
    <t>문서 산출물</t>
    <phoneticPr fontId="2" type="noConversion"/>
  </si>
  <si>
    <t>API 목록</t>
  </si>
  <si>
    <t>DB테이블</t>
  </si>
  <si>
    <t>감정 추론 실행 모듈</t>
  </si>
  <si>
    <t>최적화 최종 모델</t>
  </si>
  <si>
    <t>DB서버,백엔드 실행 환경</t>
    <phoneticPr fontId="2" type="noConversion"/>
  </si>
  <si>
    <t>검증 완료 모델</t>
    <phoneticPr fontId="2" type="noConversion"/>
  </si>
  <si>
    <t>운영 가능한 AI 면접 시스템</t>
    <phoneticPr fontId="2" type="noConversion"/>
  </si>
  <si>
    <t>API 설계</t>
    <phoneticPr fontId="2" type="noConversion"/>
  </si>
  <si>
    <t>2.3.2</t>
  </si>
  <si>
    <t>2.3.5</t>
  </si>
  <si>
    <t>2.3.6</t>
  </si>
  <si>
    <t>2.3.7</t>
  </si>
  <si>
    <t>2.4.6</t>
  </si>
  <si>
    <t>2.4.7</t>
  </si>
  <si>
    <t>2.2.7</t>
  </si>
  <si>
    <t>통합 테스트에서 발견된 오류 재현 및 원인 분석, 기능 오동작 수정,응답 지연 시간 개선,연속 실행 안정성 확인,</t>
    <phoneticPr fontId="2" type="noConversion"/>
  </si>
  <si>
    <t>1차_모델 프로토타입</t>
    <phoneticPr fontId="2" type="noConversion"/>
  </si>
  <si>
    <t>RAG 파이프라인, RAG 연동 기능 구현 화면</t>
    <phoneticPr fontId="2" type="noConversion"/>
  </si>
  <si>
    <t>1차 통합 프로토타입 시스템</t>
    <phoneticPr fontId="2" type="noConversion"/>
  </si>
  <si>
    <t>1.0.1</t>
    <phoneticPr fontId="4" type="noConversion"/>
  </si>
  <si>
    <t>구현 산출물</t>
    <phoneticPr fontId="2" type="noConversion"/>
  </si>
  <si>
    <r>
      <t xml:space="preserve">WBS Level : 작업의 계층 구조를 나타내는 번호 체계로, 상위 작업과 하위 작업의 포함 관계를 표현 </t>
    </r>
    <r>
      <rPr>
        <sz val="10"/>
        <color theme="1"/>
        <rFont val="Noto Sans KR DemiLight"/>
        <family val="3"/>
        <charset val="129"/>
      </rPr>
      <t>예} 1, 1.1, 2, 2.1.3 등</t>
    </r>
    <r>
      <rPr>
        <sz val="11"/>
        <color theme="1"/>
        <rFont val="Noto Sans KR DemiLight"/>
        <family val="2"/>
        <charset val="129"/>
      </rPr>
      <t xml:space="preserve">
작업명 : 해당 WBS 항목에서 수행하는 작업을 대표하는 명칭
Task Description : 작업명만으로는 파악하기 어려운 구체적인 수행 내용을 서술하며,작업 범위, 수행 방식, 주요 결과를 포함
비고 : 작업 수행 시 참고해야 할 특이사항, 제약 조건, 의존 관계, 추가 설명을 기록한다.
담당 : 해당 작업의 주 책임자 또는 수행자를 기재하며,복수 인원일 경우 주 담당자를 앞 순서에 우선 표기
구현 산출물 : 개발·구현되어 실행 가능하거나 기능 검증이 가능한 시스템, 모델, 모듈, 서비스 단위의 결과물을 의미
문서 산출물 : 해당 작업 완료 시 생성되는 문서, 파일, 시스템 구성 요소 등 결과물을 명확히 정의
시작 예정일 : 계획 단계에서 설정한 작업 시작 목표 날짜를 의미
완료 예정일 : 계획 단계에서 설정한 작업 종료 목표 날짜를 의미
예상 소요일 : 시작 예정일부터 완료 예정일까지의 계획상 소요 기간으로, 일 단위 산정
실제 시작일 : 작업이 실제로 착수된 날짜를 기록
실제 완료일 : 작업이 실제로 종료된 날짜를 기록
실제 소요일 : 실제 시작일부터 실제 완료일까지 소요된 실제 작업 기간을 의미
총 작업량(MD) : 해당 작업 수행에 투입되는 전체 공수로, 참여 인원 수와 기간을 고려한 총 Man-Day를 의미
계획 작업량(MD) : 계획 단계에서 산정한 목표 공수로, 진행 후 실제 작업량과 비교 분석에 활용</t>
    </r>
    <phoneticPr fontId="2" type="noConversion"/>
  </si>
  <si>
    <t>업무표준, 개발환경통일</t>
    <phoneticPr fontId="2" type="noConversion"/>
  </si>
  <si>
    <t>구현 산출물 추가,PoC 검증 부분 수정</t>
    <phoneticPr fontId="2" type="noConversion"/>
  </si>
  <si>
    <t>온프레미스 기반 llm(Solar-10.7B,Llama-3.1-8B 포함), 영상분석(DeepFace포함) 모델 3개씩 비교/ stt(Nova-1, Nova-2) 2개 모델 비교,동일한 검증 방법, 검증 데이터 선정하여 비교 진행</t>
    <phoneticPr fontId="2" type="noConversion"/>
  </si>
  <si>
    <t>A4_Project_WBS_업무관리</t>
    <phoneticPr fontId="4" type="noConversion"/>
  </si>
  <si>
    <t>A4_Project_파일_관리_대장,A4_Project_WBS_업무관리</t>
  </si>
  <si>
    <t>A4_Project_Proposal_기획안</t>
  </si>
  <si>
    <t>A4_Project_Kick_off, A4_Project_착수보고서</t>
  </si>
  <si>
    <t>A4_Project_Plan_기획서</t>
  </si>
  <si>
    <t>A4_Project_WBS_업무관리, A4_Project_착수보고서</t>
  </si>
  <si>
    <t>A4_Project_Progress Report_진행보고서</t>
  </si>
  <si>
    <t>A4_Project_A4_Report_결과보고서</t>
  </si>
  <si>
    <t>A4_Project_RFB_SRS_요구사항정의서</t>
  </si>
  <si>
    <t>A4_Project_시스템아키텍처_설계서_SAD</t>
  </si>
  <si>
    <t>A4_Project_PoC_검증보고서</t>
  </si>
  <si>
    <t>A4_Project_시나리오_기획서</t>
  </si>
  <si>
    <t>A4_Project_Screen_Specification_화면정의서</t>
  </si>
  <si>
    <t>A4_Project_Data_수립_설계서</t>
  </si>
  <si>
    <t>A4_Project_ERD_DB_설계서,A4_Project_Dataset_Specification_데이터정의서</t>
  </si>
  <si>
    <t>A4_Project_VectorDB_설계서</t>
  </si>
  <si>
    <t>A4_Project_시스템아키텍처_설계서_SAD,A4_Project_Progress Report_진행보고서</t>
  </si>
  <si>
    <t>A4_Project_모델_설계서</t>
  </si>
  <si>
    <t>A4_Project_AI모델_검증보고서</t>
  </si>
  <si>
    <t>A4_Project_프롬프트_설계서</t>
  </si>
  <si>
    <t>A4_Project_RAG_설계서</t>
  </si>
  <si>
    <t>A4_Project_DB_연동_기준서</t>
  </si>
  <si>
    <t>A4_Project_API_정의서</t>
  </si>
  <si>
    <t>A4_Project_UI/UX_화면설계서</t>
  </si>
  <si>
    <t>A4_Project_감정분석_설계서</t>
  </si>
  <si>
    <t>A4_Project_테스트_계획서</t>
  </si>
  <si>
    <t>A4_Project_테스트_케이스</t>
  </si>
  <si>
    <t>A4_Project_사용자_운영_매뉴얼,A4_Project_Presentation_결과보고서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</si>
</sst>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yyyy\-mm\-dd"/>
    <numFmt numFmtId="177" formatCode="0_);[Red]\(0\)"/>
  </numFmts>
  <fonts count="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Noto Sans KR DemiLight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Noto Sans KR Black"/>
      <family val="2"/>
      <charset val="129"/>
    </font>
    <font>
      <b/>
      <sz val="11"/>
      <color theme="1"/>
      <name val="Noto Sans KR Black"/>
      <family val="2"/>
      <charset val="129"/>
    </font>
    <font>
      <sz val="10"/>
      <color theme="1"/>
      <name val="Noto Sans KR Demi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8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77" fontId="0" fillId="0" borderId="0" xfId="0" applyNumberFormat="1"/>
    <xf numFmtId="41" fontId="0" fillId="0" borderId="0" xfId="0" applyNumberFormat="1"/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/>
    <xf numFmtId="176" fontId="1" fillId="0" borderId="0" xfId="1" applyNumberFormat="1" applyAlignment="1"/>
    <xf numFmtId="14" fontId="3" fillId="0" borderId="0" xfId="1" applyNumberFormat="1" applyFont="1">
      <alignment vertical="center"/>
    </xf>
    <xf numFmtId="0" fontId="5" fillId="0" borderId="0" xfId="1" applyFont="1">
      <alignment vertical="center"/>
    </xf>
    <xf numFmtId="0" fontId="6" fillId="6" borderId="0" xfId="1" applyFont="1" applyFill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top" wrapText="1"/>
    </xf>
    <xf numFmtId="0" fontId="6" fillId="3" borderId="0" xfId="1" applyFont="1" applyFill="1" applyAlignment="1">
      <alignment horizontal="center" vertical="center"/>
    </xf>
    <xf numFmtId="0" fontId="6" fillId="7" borderId="0" xfId="1" applyFont="1" applyFill="1">
      <alignment vertical="center"/>
    </xf>
    <xf numFmtId="0" fontId="6" fillId="8" borderId="0" xfId="1" applyFont="1" applyFill="1">
      <alignment vertical="center"/>
    </xf>
    <xf numFmtId="0" fontId="0" fillId="9" borderId="0" xfId="0" applyFill="1"/>
    <xf numFmtId="0" fontId="0" fillId="10" borderId="0" xfId="0" applyFill="1"/>
    <xf numFmtId="41" fontId="0" fillId="0" borderId="0" xfId="0" applyNumberFormat="1" applyAlignment="1">
      <alignment horizontal="left"/>
    </xf>
    <xf numFmtId="0" fontId="6" fillId="3" borderId="0" xfId="1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"/>
  <sheetViews>
    <sheetView workbookViewId="0">
      <selection activeCell="D6" sqref="D6"/>
    </sheetView>
  </sheetViews>
  <sheetFormatPr defaultRowHeight="13.5"/>
  <cols>
    <col min="1" max="1" width="1" style="12" customWidth="1"/>
    <col min="2" max="2" width="9" style="13"/>
    <col min="3" max="3" width="19.75" style="12" customWidth="1"/>
    <col min="4" max="4" width="68.5" style="12" customWidth="1"/>
    <col min="5" max="5" width="9" style="12"/>
    <col min="6" max="6" width="11.375" style="12" customWidth="1"/>
    <col min="7" max="16384" width="9" style="12"/>
  </cols>
  <sheetData>
    <row r="1" spans="2:8" ht="6" customHeight="1"/>
    <row r="2" spans="2:8" s="17" customFormat="1" ht="18">
      <c r="B2" s="18" t="s">
        <v>121</v>
      </c>
      <c r="C2" s="18" t="s">
        <v>120</v>
      </c>
      <c r="D2" s="18" t="s">
        <v>119</v>
      </c>
      <c r="E2" s="18" t="s">
        <v>118</v>
      </c>
      <c r="F2" s="18" t="s">
        <v>117</v>
      </c>
      <c r="G2" s="18" t="s">
        <v>116</v>
      </c>
      <c r="H2" s="18" t="s">
        <v>115</v>
      </c>
    </row>
    <row r="3" spans="2:8">
      <c r="B3" s="13">
        <v>1</v>
      </c>
      <c r="C3" s="12" t="s">
        <v>132</v>
      </c>
      <c r="D3" s="12" t="s">
        <v>133</v>
      </c>
      <c r="E3" s="12" t="s">
        <v>113</v>
      </c>
      <c r="F3" s="16">
        <v>46043</v>
      </c>
      <c r="G3" s="12" t="s">
        <v>114</v>
      </c>
    </row>
    <row r="4" spans="2:8">
      <c r="B4" s="13">
        <v>2</v>
      </c>
      <c r="C4" s="12" t="s">
        <v>132</v>
      </c>
      <c r="D4" s="12" t="s">
        <v>135</v>
      </c>
      <c r="E4" s="12" t="s">
        <v>113</v>
      </c>
      <c r="F4" s="16">
        <v>46044</v>
      </c>
      <c r="G4" s="12" t="s">
        <v>140</v>
      </c>
    </row>
    <row r="5" spans="2:8">
      <c r="B5" s="13">
        <v>3</v>
      </c>
      <c r="C5" s="12" t="s">
        <v>132</v>
      </c>
      <c r="D5" s="12" t="s">
        <v>190</v>
      </c>
      <c r="E5" s="12" t="s">
        <v>113</v>
      </c>
      <c r="F5" s="16">
        <v>46046</v>
      </c>
      <c r="G5" s="12" t="s">
        <v>186</v>
      </c>
    </row>
    <row r="22" spans="4:11" ht="16.5">
      <c r="D22" s="14"/>
      <c r="E22" s="14"/>
      <c r="F22" s="14"/>
      <c r="G22" s="14"/>
      <c r="H22" s="14"/>
      <c r="I22" s="14"/>
      <c r="J22" s="14"/>
      <c r="K22" s="14"/>
    </row>
    <row r="23" spans="4:11" ht="16.5">
      <c r="D23" s="14"/>
      <c r="E23" s="14"/>
      <c r="F23" s="14"/>
      <c r="G23" s="15"/>
      <c r="H23" s="15"/>
      <c r="I23" s="14"/>
      <c r="J23" s="14"/>
      <c r="K23" s="14"/>
    </row>
    <row r="24" spans="4:11" ht="16.5">
      <c r="D24" s="14"/>
      <c r="E24" s="14"/>
      <c r="F24" s="14"/>
      <c r="G24" s="15"/>
      <c r="H24" s="15"/>
      <c r="I24" s="14"/>
      <c r="J24" s="14"/>
      <c r="K24" s="14"/>
    </row>
    <row r="25" spans="4:11" ht="16.5">
      <c r="D25" s="14"/>
      <c r="E25" s="14"/>
      <c r="F25" s="14"/>
      <c r="G25" s="15"/>
      <c r="H25" s="15"/>
      <c r="I25" s="14"/>
      <c r="J25" s="14"/>
      <c r="K25" s="14"/>
    </row>
    <row r="26" spans="4:11" ht="16.5">
      <c r="D26" s="14"/>
      <c r="E26" s="14"/>
      <c r="F26" s="14"/>
      <c r="G26" s="15"/>
      <c r="H26" s="15"/>
      <c r="I26" s="14"/>
      <c r="J26" s="14"/>
      <c r="K26" s="14"/>
    </row>
    <row r="27" spans="4:11" ht="16.5">
      <c r="D27" s="14"/>
      <c r="E27" s="14"/>
      <c r="F27" s="14"/>
      <c r="G27" s="15"/>
      <c r="H27" s="15"/>
      <c r="I27" s="14"/>
      <c r="J27" s="14"/>
      <c r="K27" s="14"/>
    </row>
    <row r="28" spans="4:11" ht="16.5">
      <c r="D28" s="14"/>
      <c r="E28" s="14"/>
      <c r="F28" s="14"/>
      <c r="G28" s="15"/>
      <c r="H28" s="15"/>
      <c r="I28" s="14"/>
      <c r="J28" s="14"/>
      <c r="K28" s="14"/>
    </row>
    <row r="29" spans="4:11" ht="16.5">
      <c r="D29" s="14"/>
      <c r="E29" s="14"/>
      <c r="F29" s="14"/>
      <c r="G29" s="15"/>
      <c r="H29" s="15"/>
      <c r="I29" s="14"/>
      <c r="J29" s="14"/>
      <c r="K29" s="14"/>
    </row>
    <row r="30" spans="4:11" ht="16.5">
      <c r="D30" s="14"/>
      <c r="E30" s="14"/>
      <c r="F30" s="14"/>
      <c r="G30" s="15"/>
      <c r="H30" s="15"/>
      <c r="I30" s="14"/>
      <c r="J30" s="14"/>
      <c r="K30" s="14"/>
    </row>
    <row r="31" spans="4:11" ht="16.5">
      <c r="D31" s="14"/>
      <c r="E31" s="14"/>
      <c r="F31" s="14"/>
      <c r="G31" s="15"/>
      <c r="H31" s="15"/>
      <c r="I31" s="14"/>
      <c r="J31" s="14"/>
      <c r="K31" s="14"/>
    </row>
    <row r="32" spans="4:11" ht="16.5">
      <c r="D32" s="14"/>
      <c r="E32" s="14"/>
      <c r="F32" s="14"/>
      <c r="G32" s="15"/>
      <c r="H32" s="15"/>
      <c r="I32" s="14"/>
      <c r="J32" s="14"/>
      <c r="K32" s="14"/>
    </row>
    <row r="33" spans="4:11" ht="16.5">
      <c r="D33" s="14"/>
      <c r="E33" s="14"/>
      <c r="F33" s="14"/>
      <c r="G33" s="15"/>
      <c r="H33" s="15"/>
      <c r="I33" s="14"/>
      <c r="J33" s="14"/>
      <c r="K33" s="14"/>
    </row>
    <row r="34" spans="4:11" ht="16.5">
      <c r="D34" s="14"/>
      <c r="E34" s="14"/>
      <c r="F34" s="14"/>
      <c r="G34" s="15"/>
      <c r="H34" s="15"/>
      <c r="I34" s="14"/>
      <c r="J34" s="14"/>
      <c r="K34" s="14"/>
    </row>
    <row r="35" spans="4:11" ht="16.5">
      <c r="D35" s="14"/>
      <c r="E35" s="14"/>
      <c r="F35" s="14"/>
      <c r="G35" s="15"/>
      <c r="H35" s="15"/>
      <c r="I35" s="14"/>
      <c r="J35" s="14"/>
      <c r="K35" s="14"/>
    </row>
    <row r="36" spans="4:11" ht="16.5">
      <c r="D36" s="14"/>
      <c r="E36" s="14"/>
      <c r="F36" s="14"/>
      <c r="G36" s="15"/>
      <c r="H36" s="15"/>
      <c r="I36" s="14"/>
      <c r="J36" s="14"/>
      <c r="K36" s="14"/>
    </row>
    <row r="37" spans="4:11" ht="16.5">
      <c r="D37" s="14"/>
      <c r="E37" s="14"/>
      <c r="F37" s="14"/>
      <c r="G37" s="15"/>
      <c r="H37" s="15"/>
      <c r="I37" s="14"/>
      <c r="J37" s="14"/>
      <c r="K37" s="14"/>
    </row>
    <row r="38" spans="4:11" ht="16.5">
      <c r="D38" s="14"/>
      <c r="E38" s="14"/>
      <c r="F38" s="14"/>
      <c r="G38" s="15"/>
      <c r="H38" s="15"/>
      <c r="I38" s="14"/>
      <c r="J38" s="14"/>
      <c r="K38" s="14"/>
    </row>
    <row r="39" spans="4:11" ht="16.5">
      <c r="D39" s="14"/>
      <c r="E39" s="14"/>
      <c r="F39" s="14"/>
      <c r="G39" s="15"/>
      <c r="H39" s="15"/>
      <c r="I39" s="14"/>
      <c r="J39" s="14"/>
      <c r="K39" s="14"/>
    </row>
    <row r="40" spans="4:11" ht="16.5">
      <c r="D40" s="14"/>
      <c r="E40" s="14"/>
      <c r="F40" s="14"/>
      <c r="G40" s="15"/>
      <c r="H40" s="15"/>
      <c r="I40" s="14"/>
      <c r="J40" s="14"/>
      <c r="K40" s="14"/>
    </row>
    <row r="41" spans="4:11" ht="16.5">
      <c r="D41" s="14"/>
      <c r="E41" s="14"/>
      <c r="F41" s="14"/>
      <c r="G41" s="15"/>
      <c r="H41" s="15"/>
      <c r="I41" s="14"/>
      <c r="J41" s="14"/>
      <c r="K41" s="14"/>
    </row>
    <row r="42" spans="4:11" ht="16.5">
      <c r="D42" s="14"/>
      <c r="E42" s="14"/>
      <c r="F42" s="14"/>
      <c r="G42" s="15"/>
      <c r="H42" s="15"/>
      <c r="I42" s="14"/>
      <c r="J42" s="14"/>
      <c r="K42" s="14"/>
    </row>
    <row r="43" spans="4:11" ht="16.5">
      <c r="D43" s="14"/>
      <c r="E43" s="14"/>
      <c r="F43" s="14"/>
      <c r="G43" s="15"/>
      <c r="H43" s="15"/>
      <c r="I43" s="14"/>
      <c r="J43" s="14"/>
      <c r="K43" s="14"/>
    </row>
    <row r="44" spans="4:11" ht="16.5">
      <c r="D44" s="14"/>
      <c r="E44" s="14"/>
      <c r="F44" s="14"/>
      <c r="G44" s="15"/>
      <c r="H44" s="15"/>
      <c r="I44" s="14"/>
      <c r="J44" s="14"/>
      <c r="K44" s="14"/>
    </row>
    <row r="45" spans="4:11" ht="16.5">
      <c r="D45" s="14"/>
      <c r="E45" s="14"/>
      <c r="F45" s="14"/>
      <c r="G45" s="15"/>
      <c r="H45" s="15"/>
      <c r="I45" s="14"/>
      <c r="J45" s="14"/>
      <c r="K45" s="14"/>
    </row>
    <row r="46" spans="4:11" ht="16.5">
      <c r="D46" s="14"/>
      <c r="E46" s="14"/>
      <c r="F46" s="14"/>
      <c r="G46" s="15"/>
      <c r="H46" s="15"/>
      <c r="I46" s="14"/>
      <c r="J46" s="14"/>
      <c r="K46" s="14"/>
    </row>
    <row r="47" spans="4:11" ht="16.5">
      <c r="D47" s="14"/>
      <c r="E47" s="14"/>
      <c r="F47" s="14"/>
      <c r="G47" s="15"/>
      <c r="H47" s="15"/>
      <c r="I47" s="14"/>
      <c r="J47" s="14"/>
      <c r="K47" s="14"/>
    </row>
    <row r="48" spans="4:11" ht="16.5">
      <c r="D48" s="14"/>
      <c r="E48" s="14"/>
      <c r="F48" s="14"/>
      <c r="G48" s="15"/>
      <c r="H48" s="15"/>
      <c r="I48" s="14"/>
      <c r="J48" s="14"/>
      <c r="K48" s="14"/>
    </row>
    <row r="49" spans="4:11" ht="16.5">
      <c r="D49" s="14"/>
      <c r="E49" s="14"/>
      <c r="F49" s="14"/>
      <c r="G49" s="15"/>
      <c r="H49" s="15"/>
      <c r="I49" s="14"/>
      <c r="J49" s="14"/>
      <c r="K49" s="14"/>
    </row>
    <row r="50" spans="4:11" ht="16.5">
      <c r="D50" s="14"/>
      <c r="E50" s="14"/>
      <c r="F50" s="14"/>
      <c r="G50" s="15"/>
      <c r="H50" s="15"/>
      <c r="I50" s="14"/>
      <c r="J50" s="14"/>
      <c r="K50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workbookViewId="0">
      <selection activeCell="C16" sqref="C16"/>
    </sheetView>
  </sheetViews>
  <sheetFormatPr defaultRowHeight="13.5"/>
  <cols>
    <col min="1" max="1" width="1.25" style="12" customWidth="1"/>
    <col min="2" max="2" width="16.25" style="12" customWidth="1"/>
    <col min="3" max="3" width="119.625" style="12" customWidth="1"/>
    <col min="4" max="16384" width="9" style="12"/>
  </cols>
  <sheetData>
    <row r="1" spans="2:4" ht="3" customHeight="1"/>
    <row r="2" spans="2:4" ht="18">
      <c r="B2" s="23" t="s">
        <v>131</v>
      </c>
      <c r="C2" s="23" t="s">
        <v>192</v>
      </c>
    </row>
    <row r="3" spans="2:4">
      <c r="B3" s="12" t="s">
        <v>130</v>
      </c>
      <c r="C3" s="12" t="s">
        <v>138</v>
      </c>
    </row>
    <row r="4" spans="2:4">
      <c r="B4" s="12" t="s">
        <v>129</v>
      </c>
      <c r="C4" s="12" t="s">
        <v>128</v>
      </c>
    </row>
    <row r="5" spans="2:4">
      <c r="B5" s="12" t="s">
        <v>127</v>
      </c>
      <c r="C5" s="12" t="s">
        <v>126</v>
      </c>
    </row>
    <row r="7" spans="2:4" ht="18">
      <c r="B7" s="22" t="s">
        <v>123</v>
      </c>
      <c r="C7" s="22" t="s">
        <v>125</v>
      </c>
    </row>
    <row r="8" spans="2:4">
      <c r="B8" s="12" t="s">
        <v>137</v>
      </c>
      <c r="C8" s="12" t="s">
        <v>139</v>
      </c>
    </row>
    <row r="12" spans="2:4" ht="18" customHeight="1"/>
    <row r="13" spans="2:4" ht="18" customHeight="1"/>
    <row r="14" spans="2:4" ht="18">
      <c r="B14" s="27" t="s">
        <v>124</v>
      </c>
      <c r="C14" s="27"/>
    </row>
    <row r="15" spans="2:4" ht="18">
      <c r="B15" s="21" t="s">
        <v>123</v>
      </c>
      <c r="C15" s="21" t="s">
        <v>122</v>
      </c>
    </row>
    <row r="16" spans="2:4" ht="198" customHeight="1">
      <c r="B16" s="12" t="s">
        <v>136</v>
      </c>
      <c r="C16" s="20" t="s">
        <v>188</v>
      </c>
      <c r="D16" s="19"/>
    </row>
    <row r="17" spans="2:3">
      <c r="C17" s="19"/>
    </row>
    <row r="18" spans="2:3">
      <c r="C18" s="19"/>
    </row>
    <row r="20" spans="2:3">
      <c r="C20" s="19"/>
    </row>
    <row r="22" spans="2:3">
      <c r="B22" s="19"/>
    </row>
  </sheetData>
  <mergeCells count="1">
    <mergeCell ref="B14:C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topLeftCell="D22" workbookViewId="0">
      <selection activeCell="G10" sqref="G10"/>
    </sheetView>
  </sheetViews>
  <sheetFormatPr defaultRowHeight="16.5"/>
  <cols>
    <col min="1" max="1" width="10.375" style="8" customWidth="1"/>
    <col min="2" max="2" width="34.875" customWidth="1"/>
    <col min="3" max="3" width="95.25" customWidth="1"/>
    <col min="4" max="4" width="12.375" customWidth="1"/>
    <col min="5" max="6" width="24.125" customWidth="1"/>
    <col min="7" max="7" width="43.125" customWidth="1"/>
    <col min="8" max="9" width="18.625" customWidth="1"/>
    <col min="10" max="10" width="11.25" customWidth="1"/>
    <col min="11" max="12" width="18.625" customWidth="1"/>
    <col min="13" max="13" width="11.5" customWidth="1"/>
    <col min="14" max="14" width="11.625" customWidth="1"/>
    <col min="15" max="15" width="15.375" customWidth="1"/>
  </cols>
  <sheetData>
    <row r="1" spans="1:15">
      <c r="A1" s="9" t="s">
        <v>0</v>
      </c>
      <c r="B1" s="2" t="s">
        <v>1</v>
      </c>
      <c r="C1" s="3" t="s">
        <v>134</v>
      </c>
      <c r="D1" s="2" t="s">
        <v>2</v>
      </c>
      <c r="E1" s="4" t="s">
        <v>5</v>
      </c>
      <c r="F1" s="25" t="s">
        <v>187</v>
      </c>
      <c r="G1" s="25" t="s">
        <v>166</v>
      </c>
      <c r="H1" s="5" t="s">
        <v>53</v>
      </c>
      <c r="I1" s="5" t="s">
        <v>54</v>
      </c>
      <c r="J1" s="5" t="s">
        <v>57</v>
      </c>
      <c r="K1" s="24" t="s">
        <v>55</v>
      </c>
      <c r="L1" s="24" t="s">
        <v>56</v>
      </c>
      <c r="M1" s="24" t="s">
        <v>58</v>
      </c>
      <c r="N1" s="2" t="s">
        <v>3</v>
      </c>
      <c r="O1" s="2" t="s">
        <v>4</v>
      </c>
    </row>
    <row r="2" spans="1:15">
      <c r="A2" s="8" t="s">
        <v>6</v>
      </c>
      <c r="B2" s="7" t="s">
        <v>7</v>
      </c>
      <c r="C2" t="s">
        <v>101</v>
      </c>
      <c r="E2" t="s">
        <v>8</v>
      </c>
      <c r="F2" s="26">
        <v>0</v>
      </c>
      <c r="G2" t="s">
        <v>193</v>
      </c>
      <c r="H2" s="1">
        <v>46042</v>
      </c>
      <c r="I2" s="1">
        <v>46080</v>
      </c>
      <c r="J2" s="10">
        <f>NETWORKDAYS(H2, I2)</f>
        <v>29</v>
      </c>
      <c r="K2" s="1">
        <v>46042</v>
      </c>
      <c r="L2" s="1"/>
      <c r="M2" s="10">
        <f>NETWORKDAYS(K2, L2)</f>
        <v>-32887</v>
      </c>
    </row>
    <row r="3" spans="1:15">
      <c r="A3" s="8" t="s">
        <v>9</v>
      </c>
      <c r="B3" s="7" t="s">
        <v>10</v>
      </c>
      <c r="C3" t="s">
        <v>102</v>
      </c>
      <c r="E3" t="s">
        <v>8</v>
      </c>
      <c r="F3" s="26">
        <v>0</v>
      </c>
      <c r="G3" t="s">
        <v>194</v>
      </c>
      <c r="H3" s="1">
        <v>46042</v>
      </c>
      <c r="I3" s="1">
        <v>46043</v>
      </c>
      <c r="J3" s="10">
        <f t="shared" ref="J3:J40" si="0">NETWORKDAYS(H3, I3)</f>
        <v>2</v>
      </c>
      <c r="K3" s="1">
        <v>46042</v>
      </c>
      <c r="L3" s="1">
        <v>46043</v>
      </c>
      <c r="M3" s="10">
        <f t="shared" ref="M3:M40" si="1">NETWORKDAYS(K3, L3)</f>
        <v>2</v>
      </c>
    </row>
    <row r="4" spans="1:15">
      <c r="A4" s="8" t="s">
        <v>11</v>
      </c>
      <c r="B4" s="7" t="s">
        <v>105</v>
      </c>
      <c r="C4" t="s">
        <v>104</v>
      </c>
      <c r="D4" t="s">
        <v>12</v>
      </c>
      <c r="E4" t="s">
        <v>8</v>
      </c>
      <c r="F4" t="s">
        <v>189</v>
      </c>
      <c r="G4" t="s">
        <v>195</v>
      </c>
      <c r="H4" s="1">
        <v>46042</v>
      </c>
      <c r="I4" s="1">
        <v>46042</v>
      </c>
      <c r="J4" s="10">
        <f t="shared" si="0"/>
        <v>1</v>
      </c>
      <c r="K4" s="1">
        <v>46048</v>
      </c>
      <c r="L4" s="1">
        <v>46049</v>
      </c>
      <c r="M4" s="10">
        <f t="shared" si="1"/>
        <v>2</v>
      </c>
    </row>
    <row r="5" spans="1:15">
      <c r="A5" s="8" t="s">
        <v>13</v>
      </c>
      <c r="B5" s="7" t="s">
        <v>14</v>
      </c>
      <c r="C5" t="s">
        <v>103</v>
      </c>
      <c r="E5" t="s">
        <v>8</v>
      </c>
      <c r="F5" s="26">
        <v>0</v>
      </c>
      <c r="G5" t="s">
        <v>196</v>
      </c>
      <c r="H5" s="1">
        <v>46043</v>
      </c>
      <c r="I5" s="1">
        <v>46043</v>
      </c>
      <c r="J5" s="10">
        <f t="shared" si="0"/>
        <v>1</v>
      </c>
      <c r="K5" s="1">
        <v>46050</v>
      </c>
      <c r="L5" s="1"/>
      <c r="M5" s="10">
        <f t="shared" si="1"/>
        <v>-32893</v>
      </c>
    </row>
    <row r="6" spans="1:15">
      <c r="A6" s="8" t="s">
        <v>92</v>
      </c>
      <c r="B6" s="7" t="s">
        <v>141</v>
      </c>
      <c r="C6" t="s">
        <v>106</v>
      </c>
      <c r="E6" t="s">
        <v>45</v>
      </c>
      <c r="F6" s="26">
        <v>0</v>
      </c>
      <c r="G6" t="s">
        <v>197</v>
      </c>
      <c r="H6" s="1">
        <v>46050</v>
      </c>
      <c r="I6" s="1">
        <v>46050</v>
      </c>
      <c r="J6" s="10">
        <f t="shared" si="0"/>
        <v>1</v>
      </c>
      <c r="K6" s="1">
        <v>46050</v>
      </c>
      <c r="L6" s="1">
        <v>46050</v>
      </c>
      <c r="M6" s="10">
        <f t="shared" si="1"/>
        <v>1</v>
      </c>
    </row>
    <row r="7" spans="1:15">
      <c r="A7" s="8" t="s">
        <v>15</v>
      </c>
      <c r="B7" s="7" t="s">
        <v>16</v>
      </c>
      <c r="C7" t="s">
        <v>107</v>
      </c>
      <c r="E7" t="s">
        <v>8</v>
      </c>
      <c r="F7" s="26">
        <v>0</v>
      </c>
      <c r="G7" t="s">
        <v>198</v>
      </c>
      <c r="H7" s="1">
        <v>46048</v>
      </c>
      <c r="I7" s="1">
        <v>46080</v>
      </c>
      <c r="J7" s="10">
        <f t="shared" si="0"/>
        <v>25</v>
      </c>
      <c r="K7" s="1"/>
      <c r="L7" s="1"/>
      <c r="M7" s="10">
        <f t="shared" si="1"/>
        <v>0</v>
      </c>
    </row>
    <row r="8" spans="1:15">
      <c r="A8" s="8" t="s">
        <v>17</v>
      </c>
      <c r="B8" s="7" t="s">
        <v>59</v>
      </c>
      <c r="C8" t="s">
        <v>108</v>
      </c>
      <c r="E8" t="s">
        <v>45</v>
      </c>
      <c r="F8" s="26">
        <v>0</v>
      </c>
      <c r="G8" t="s">
        <v>198</v>
      </c>
      <c r="H8" s="1">
        <v>46066</v>
      </c>
      <c r="I8" s="1">
        <v>46066</v>
      </c>
      <c r="J8" s="10">
        <f t="shared" si="0"/>
        <v>1</v>
      </c>
      <c r="K8" s="1"/>
      <c r="L8" s="1"/>
      <c r="M8" s="10">
        <f t="shared" si="1"/>
        <v>0</v>
      </c>
    </row>
    <row r="9" spans="1:15">
      <c r="A9" s="8" t="s">
        <v>18</v>
      </c>
      <c r="B9" s="7" t="s">
        <v>19</v>
      </c>
      <c r="C9" t="s">
        <v>109</v>
      </c>
      <c r="E9" t="s">
        <v>8</v>
      </c>
      <c r="F9" s="26">
        <v>0</v>
      </c>
      <c r="G9" t="s">
        <v>199</v>
      </c>
      <c r="H9" s="1">
        <v>46080</v>
      </c>
      <c r="I9" s="1">
        <v>46080</v>
      </c>
      <c r="J9" s="10">
        <f t="shared" si="0"/>
        <v>1</v>
      </c>
      <c r="K9" s="1"/>
      <c r="L9" s="1"/>
      <c r="M9" s="10">
        <f t="shared" si="1"/>
        <v>0</v>
      </c>
    </row>
    <row r="10" spans="1:15">
      <c r="A10" s="8" t="s">
        <v>20</v>
      </c>
      <c r="B10" s="7" t="s">
        <v>21</v>
      </c>
      <c r="C10" s="26">
        <v>0</v>
      </c>
      <c r="E10" t="s">
        <v>22</v>
      </c>
      <c r="F10" s="26">
        <v>0</v>
      </c>
      <c r="G10" s="26">
        <v>0</v>
      </c>
      <c r="H10" s="1">
        <v>46043</v>
      </c>
      <c r="I10" s="1">
        <v>46080</v>
      </c>
      <c r="J10" s="10">
        <f t="shared" si="0"/>
        <v>28</v>
      </c>
      <c r="K10" s="1"/>
      <c r="L10" s="1"/>
      <c r="M10" s="10">
        <f t="shared" si="1"/>
        <v>0</v>
      </c>
      <c r="N10" s="11">
        <v>0</v>
      </c>
      <c r="O10" s="11">
        <v>0</v>
      </c>
    </row>
    <row r="11" spans="1:15">
      <c r="A11" s="8" t="s">
        <v>23</v>
      </c>
      <c r="B11" s="7" t="s">
        <v>24</v>
      </c>
      <c r="C11" t="s">
        <v>110</v>
      </c>
      <c r="E11" t="s">
        <v>8</v>
      </c>
      <c r="F11" s="26">
        <v>0</v>
      </c>
      <c r="G11" t="s">
        <v>200</v>
      </c>
      <c r="H11" s="1">
        <v>46043</v>
      </c>
      <c r="I11" s="1">
        <v>46050</v>
      </c>
      <c r="J11" s="10">
        <f t="shared" si="0"/>
        <v>6</v>
      </c>
      <c r="K11" s="1">
        <v>46043</v>
      </c>
      <c r="L11" s="1">
        <v>46049</v>
      </c>
      <c r="M11" s="10">
        <f t="shared" si="1"/>
        <v>5</v>
      </c>
    </row>
    <row r="12" spans="1:15">
      <c r="A12" s="8" t="s">
        <v>25</v>
      </c>
      <c r="B12" s="7" t="s">
        <v>26</v>
      </c>
      <c r="C12" t="s">
        <v>111</v>
      </c>
      <c r="D12" t="s">
        <v>27</v>
      </c>
      <c r="E12" t="s">
        <v>8</v>
      </c>
      <c r="F12" s="26">
        <v>0</v>
      </c>
      <c r="G12" t="s">
        <v>200</v>
      </c>
      <c r="H12" s="1">
        <v>46044</v>
      </c>
      <c r="I12" s="1">
        <v>46050</v>
      </c>
      <c r="J12" s="10">
        <f t="shared" si="0"/>
        <v>5</v>
      </c>
      <c r="K12" s="1">
        <v>46044</v>
      </c>
      <c r="L12" s="1">
        <v>46049</v>
      </c>
      <c r="M12" s="10">
        <f t="shared" si="1"/>
        <v>4</v>
      </c>
    </row>
    <row r="13" spans="1:15">
      <c r="A13" s="8" t="s">
        <v>29</v>
      </c>
      <c r="B13" s="7" t="s">
        <v>66</v>
      </c>
      <c r="C13" t="s">
        <v>72</v>
      </c>
      <c r="E13" t="s">
        <v>22</v>
      </c>
      <c r="F13" s="26">
        <v>0</v>
      </c>
      <c r="G13" t="s">
        <v>201</v>
      </c>
      <c r="H13" s="1">
        <v>46045</v>
      </c>
      <c r="I13" s="1">
        <v>46048</v>
      </c>
      <c r="J13" s="10">
        <f t="shared" si="0"/>
        <v>2</v>
      </c>
      <c r="K13" s="1">
        <v>46045</v>
      </c>
      <c r="L13" s="1">
        <v>46048</v>
      </c>
      <c r="M13" s="10">
        <f t="shared" si="1"/>
        <v>2</v>
      </c>
    </row>
    <row r="14" spans="1:15">
      <c r="A14" s="8" t="s">
        <v>30</v>
      </c>
      <c r="B14" s="7" t="s">
        <v>67</v>
      </c>
      <c r="C14" t="s">
        <v>68</v>
      </c>
      <c r="E14" t="s">
        <v>22</v>
      </c>
      <c r="F14" t="s">
        <v>171</v>
      </c>
      <c r="G14" t="s">
        <v>201</v>
      </c>
      <c r="H14" s="1">
        <v>46045</v>
      </c>
      <c r="I14" s="1">
        <v>46048</v>
      </c>
      <c r="J14" s="10">
        <f t="shared" si="0"/>
        <v>2</v>
      </c>
      <c r="K14" s="1">
        <v>46045</v>
      </c>
      <c r="L14" s="1">
        <v>46049</v>
      </c>
      <c r="M14" s="10">
        <f t="shared" si="1"/>
        <v>3</v>
      </c>
    </row>
    <row r="15" spans="1:15">
      <c r="A15" s="8" t="s">
        <v>31</v>
      </c>
      <c r="B15" t="s">
        <v>144</v>
      </c>
      <c r="C15" t="s">
        <v>191</v>
      </c>
      <c r="E15" t="s">
        <v>143</v>
      </c>
      <c r="F15" t="s">
        <v>183</v>
      </c>
      <c r="G15" t="s">
        <v>202</v>
      </c>
      <c r="H15" s="1">
        <v>46049</v>
      </c>
      <c r="I15" s="1">
        <v>46052</v>
      </c>
      <c r="J15" s="10">
        <f t="shared" si="0"/>
        <v>4</v>
      </c>
      <c r="K15" s="1">
        <v>46049</v>
      </c>
      <c r="L15" s="1"/>
      <c r="M15" s="10">
        <f t="shared" si="1"/>
        <v>-32892</v>
      </c>
    </row>
    <row r="16" spans="1:15">
      <c r="A16" s="8" t="s">
        <v>34</v>
      </c>
      <c r="B16" s="7" t="s">
        <v>83</v>
      </c>
      <c r="C16" t="s">
        <v>91</v>
      </c>
      <c r="E16" t="s">
        <v>50</v>
      </c>
      <c r="F16" s="26">
        <v>0</v>
      </c>
      <c r="G16" t="s">
        <v>203</v>
      </c>
      <c r="H16" s="1">
        <v>46043</v>
      </c>
      <c r="I16" s="1">
        <v>46044</v>
      </c>
      <c r="J16" s="10">
        <f t="shared" si="0"/>
        <v>2</v>
      </c>
      <c r="K16" s="1">
        <v>46043</v>
      </c>
      <c r="L16" s="1">
        <v>46044</v>
      </c>
      <c r="M16" s="10">
        <f t="shared" si="1"/>
        <v>2</v>
      </c>
    </row>
    <row r="17" spans="1:13">
      <c r="A17" s="8" t="s">
        <v>51</v>
      </c>
      <c r="B17" s="7" t="s">
        <v>69</v>
      </c>
      <c r="C17" s="6" t="s">
        <v>78</v>
      </c>
      <c r="E17" t="s">
        <v>50</v>
      </c>
      <c r="F17" s="26">
        <v>0</v>
      </c>
      <c r="G17" t="s">
        <v>204</v>
      </c>
      <c r="H17" s="1">
        <v>46050</v>
      </c>
      <c r="I17" s="1">
        <v>46052</v>
      </c>
      <c r="J17" s="10">
        <f t="shared" si="0"/>
        <v>3</v>
      </c>
      <c r="K17" s="1">
        <v>46050</v>
      </c>
      <c r="L17" s="1"/>
      <c r="M17" s="10">
        <f t="shared" si="1"/>
        <v>-32893</v>
      </c>
    </row>
    <row r="18" spans="1:13">
      <c r="A18" s="8" t="s">
        <v>93</v>
      </c>
      <c r="B18" s="7" t="s">
        <v>86</v>
      </c>
      <c r="C18" s="7" t="s">
        <v>88</v>
      </c>
      <c r="E18" t="s">
        <v>63</v>
      </c>
      <c r="F18" s="26">
        <v>0</v>
      </c>
      <c r="G18" t="s">
        <v>205</v>
      </c>
      <c r="H18" s="1">
        <v>46045</v>
      </c>
      <c r="I18" s="1">
        <v>46048</v>
      </c>
      <c r="J18" s="10">
        <f t="shared" si="0"/>
        <v>2</v>
      </c>
      <c r="K18" s="1"/>
      <c r="L18" s="1"/>
      <c r="M18" s="10">
        <f t="shared" si="1"/>
        <v>0</v>
      </c>
    </row>
    <row r="19" spans="1:13">
      <c r="A19" s="8" t="s">
        <v>94</v>
      </c>
      <c r="B19" s="7" t="s">
        <v>32</v>
      </c>
      <c r="C19" t="s">
        <v>70</v>
      </c>
      <c r="D19" t="s">
        <v>33</v>
      </c>
      <c r="E19" t="s">
        <v>63</v>
      </c>
      <c r="F19" s="26">
        <v>0</v>
      </c>
      <c r="G19" t="s">
        <v>206</v>
      </c>
      <c r="H19" s="1">
        <v>46050</v>
      </c>
      <c r="I19" s="1">
        <v>46052</v>
      </c>
      <c r="J19" s="10">
        <f t="shared" si="0"/>
        <v>3</v>
      </c>
      <c r="K19" s="1"/>
      <c r="L19" s="1"/>
      <c r="M19" s="10">
        <f t="shared" si="1"/>
        <v>0</v>
      </c>
    </row>
    <row r="20" spans="1:13">
      <c r="A20" s="8" t="s">
        <v>181</v>
      </c>
      <c r="B20" s="7" t="s">
        <v>35</v>
      </c>
      <c r="C20" t="s">
        <v>74</v>
      </c>
      <c r="D20" t="s">
        <v>36</v>
      </c>
      <c r="E20" t="s">
        <v>71</v>
      </c>
      <c r="F20" s="26">
        <v>0</v>
      </c>
      <c r="G20" t="s">
        <v>207</v>
      </c>
      <c r="H20" s="1">
        <v>46055</v>
      </c>
      <c r="I20" s="1">
        <v>46056</v>
      </c>
      <c r="J20" s="10">
        <f t="shared" si="0"/>
        <v>2</v>
      </c>
      <c r="K20" s="1"/>
      <c r="L20" s="1"/>
      <c r="M20" s="10">
        <f t="shared" si="1"/>
        <v>0</v>
      </c>
    </row>
    <row r="21" spans="1:13">
      <c r="A21" s="8" t="s">
        <v>37</v>
      </c>
      <c r="B21" s="7" t="s">
        <v>52</v>
      </c>
      <c r="C21" t="s">
        <v>73</v>
      </c>
      <c r="E21" t="s">
        <v>82</v>
      </c>
      <c r="F21" s="26">
        <v>0</v>
      </c>
      <c r="G21" t="s">
        <v>208</v>
      </c>
      <c r="H21" s="1">
        <v>46049</v>
      </c>
      <c r="I21" s="1">
        <v>46052</v>
      </c>
      <c r="J21" s="10">
        <f t="shared" si="0"/>
        <v>4</v>
      </c>
      <c r="K21" s="1"/>
      <c r="L21" s="1"/>
      <c r="M21" s="10">
        <f t="shared" si="1"/>
        <v>0</v>
      </c>
    </row>
    <row r="22" spans="1:13">
      <c r="A22" s="8" t="s">
        <v>97</v>
      </c>
      <c r="B22" s="7" t="s">
        <v>46</v>
      </c>
      <c r="C22" t="s">
        <v>146</v>
      </c>
      <c r="E22" t="s">
        <v>48</v>
      </c>
      <c r="F22" s="26">
        <v>0</v>
      </c>
      <c r="G22" t="s">
        <v>209</v>
      </c>
      <c r="H22" s="1">
        <v>46055</v>
      </c>
      <c r="I22" s="1">
        <v>46057</v>
      </c>
      <c r="J22" s="10">
        <f t="shared" si="0"/>
        <v>3</v>
      </c>
      <c r="K22" s="1"/>
      <c r="L22" s="1"/>
      <c r="M22" s="10">
        <f t="shared" si="1"/>
        <v>0</v>
      </c>
    </row>
    <row r="23" spans="1:13">
      <c r="A23" s="8" t="s">
        <v>175</v>
      </c>
      <c r="B23" s="7" t="s">
        <v>142</v>
      </c>
      <c r="C23" t="s">
        <v>148</v>
      </c>
      <c r="E23" t="s">
        <v>145</v>
      </c>
      <c r="F23" t="s">
        <v>165</v>
      </c>
      <c r="G23" s="26">
        <v>0</v>
      </c>
      <c r="H23" s="1">
        <v>46057</v>
      </c>
      <c r="I23" s="1">
        <v>46065</v>
      </c>
      <c r="J23" s="10">
        <f t="shared" si="0"/>
        <v>7</v>
      </c>
      <c r="K23" s="1"/>
      <c r="L23" s="1"/>
      <c r="M23" s="10"/>
    </row>
    <row r="24" spans="1:13">
      <c r="A24" s="8" t="s">
        <v>38</v>
      </c>
      <c r="B24" s="7" t="s">
        <v>89</v>
      </c>
      <c r="C24" t="s">
        <v>147</v>
      </c>
      <c r="E24" t="s">
        <v>48</v>
      </c>
      <c r="F24" t="s">
        <v>172</v>
      </c>
      <c r="G24" t="s">
        <v>210</v>
      </c>
      <c r="H24" s="1">
        <v>46057</v>
      </c>
      <c r="I24" s="1">
        <v>46065</v>
      </c>
      <c r="J24" s="10">
        <f t="shared" si="0"/>
        <v>7</v>
      </c>
      <c r="K24" s="1"/>
      <c r="L24" s="1"/>
      <c r="M24" s="10">
        <f t="shared" si="1"/>
        <v>0</v>
      </c>
    </row>
    <row r="25" spans="1:13">
      <c r="A25" s="8" t="s">
        <v>98</v>
      </c>
      <c r="B25" s="7" t="s">
        <v>149</v>
      </c>
      <c r="C25" t="s">
        <v>157</v>
      </c>
      <c r="E25" t="s">
        <v>49</v>
      </c>
      <c r="F25" s="26">
        <v>0</v>
      </c>
      <c r="G25" t="s">
        <v>211</v>
      </c>
      <c r="H25" s="1">
        <v>46056</v>
      </c>
      <c r="I25" s="1">
        <v>46058</v>
      </c>
      <c r="J25" s="10">
        <f t="shared" si="0"/>
        <v>3</v>
      </c>
      <c r="K25" s="1"/>
      <c r="L25" s="1"/>
      <c r="M25" s="10"/>
    </row>
    <row r="26" spans="1:13">
      <c r="A26" s="8" t="s">
        <v>176</v>
      </c>
      <c r="B26" s="7" t="s">
        <v>47</v>
      </c>
      <c r="C26" t="s">
        <v>156</v>
      </c>
      <c r="E26" t="s">
        <v>49</v>
      </c>
      <c r="F26" s="26">
        <v>0</v>
      </c>
      <c r="G26" t="s">
        <v>212</v>
      </c>
      <c r="H26" s="1">
        <v>46059</v>
      </c>
      <c r="I26" s="1">
        <v>46062</v>
      </c>
      <c r="J26" s="10">
        <f t="shared" si="0"/>
        <v>2</v>
      </c>
      <c r="K26" s="1"/>
      <c r="L26" s="1"/>
      <c r="M26" s="10">
        <f t="shared" si="1"/>
        <v>0</v>
      </c>
    </row>
    <row r="27" spans="1:13">
      <c r="A27" s="8" t="s">
        <v>177</v>
      </c>
      <c r="B27" s="7" t="s">
        <v>151</v>
      </c>
      <c r="C27" t="s">
        <v>154</v>
      </c>
      <c r="E27" t="s">
        <v>150</v>
      </c>
      <c r="F27" t="s">
        <v>155</v>
      </c>
      <c r="G27" t="s">
        <v>198</v>
      </c>
      <c r="H27" s="1">
        <v>46062</v>
      </c>
      <c r="I27" s="1">
        <v>46065</v>
      </c>
      <c r="J27" s="10">
        <f t="shared" si="0"/>
        <v>4</v>
      </c>
      <c r="K27" s="1"/>
      <c r="L27" s="1"/>
      <c r="M27" s="10">
        <f t="shared" si="1"/>
        <v>0</v>
      </c>
    </row>
    <row r="28" spans="1:13">
      <c r="A28" s="8" t="s">
        <v>178</v>
      </c>
      <c r="B28" s="7" t="s">
        <v>152</v>
      </c>
      <c r="C28" t="s">
        <v>153</v>
      </c>
      <c r="E28" t="s">
        <v>49</v>
      </c>
      <c r="F28" t="s">
        <v>184</v>
      </c>
      <c r="G28" t="s">
        <v>198</v>
      </c>
      <c r="H28" s="1">
        <v>46062</v>
      </c>
      <c r="I28" s="1">
        <v>46065</v>
      </c>
      <c r="J28" s="10">
        <f t="shared" si="0"/>
        <v>4</v>
      </c>
      <c r="K28" s="1"/>
      <c r="L28" s="1"/>
      <c r="M28" s="10"/>
    </row>
    <row r="29" spans="1:13">
      <c r="A29" s="8">
        <v>2.4</v>
      </c>
      <c r="B29" s="7" t="s">
        <v>96</v>
      </c>
      <c r="C29" s="26">
        <v>0</v>
      </c>
      <c r="E29" t="s">
        <v>100</v>
      </c>
      <c r="F29" s="26">
        <v>0</v>
      </c>
      <c r="G29" s="26">
        <v>0</v>
      </c>
      <c r="H29" s="1">
        <v>46052</v>
      </c>
      <c r="I29" s="1">
        <v>46080</v>
      </c>
      <c r="J29" s="10">
        <f t="shared" si="0"/>
        <v>21</v>
      </c>
      <c r="K29" s="1"/>
      <c r="L29" s="1"/>
      <c r="M29" s="10">
        <f t="shared" si="1"/>
        <v>0</v>
      </c>
    </row>
    <row r="30" spans="1:13">
      <c r="A30" s="8" t="s">
        <v>95</v>
      </c>
      <c r="B30" s="7" t="s">
        <v>85</v>
      </c>
      <c r="C30" t="s">
        <v>87</v>
      </c>
      <c r="E30" t="s">
        <v>65</v>
      </c>
      <c r="F30" s="26">
        <v>0</v>
      </c>
      <c r="G30" t="s">
        <v>213</v>
      </c>
      <c r="H30" s="1">
        <v>46052</v>
      </c>
      <c r="I30" s="1">
        <v>46059</v>
      </c>
      <c r="J30" s="10">
        <f t="shared" si="0"/>
        <v>6</v>
      </c>
      <c r="K30" s="1"/>
      <c r="L30" s="1"/>
      <c r="M30" s="10">
        <f t="shared" si="1"/>
        <v>0</v>
      </c>
    </row>
    <row r="31" spans="1:13">
      <c r="A31" s="8" t="s">
        <v>40</v>
      </c>
      <c r="B31" s="7" t="s">
        <v>174</v>
      </c>
      <c r="C31" t="s">
        <v>84</v>
      </c>
      <c r="E31" t="s">
        <v>28</v>
      </c>
      <c r="F31" t="s">
        <v>167</v>
      </c>
      <c r="G31" t="s">
        <v>214</v>
      </c>
      <c r="H31" s="1">
        <v>46057</v>
      </c>
      <c r="I31" s="1">
        <v>46059</v>
      </c>
      <c r="J31" s="10">
        <f>NETWORKDAYS(H31, I31)</f>
        <v>3</v>
      </c>
      <c r="K31" s="1"/>
      <c r="L31" s="1"/>
      <c r="M31" s="10">
        <f>NETWORKDAYS(K31, L31)</f>
        <v>0</v>
      </c>
    </row>
    <row r="32" spans="1:13">
      <c r="A32" s="8" t="s">
        <v>41</v>
      </c>
      <c r="B32" s="7" t="s">
        <v>160</v>
      </c>
      <c r="C32" t="s">
        <v>161</v>
      </c>
      <c r="E32" t="s">
        <v>90</v>
      </c>
      <c r="F32" s="26">
        <v>0</v>
      </c>
      <c r="G32" t="s">
        <v>215</v>
      </c>
      <c r="H32" s="1">
        <v>46058</v>
      </c>
      <c r="I32" s="1">
        <v>46059</v>
      </c>
      <c r="J32" s="10">
        <f t="shared" si="0"/>
        <v>2</v>
      </c>
      <c r="K32" s="1"/>
      <c r="L32" s="1"/>
      <c r="M32" s="10">
        <f>NETWORKDAYS(K32, L32)</f>
        <v>0</v>
      </c>
    </row>
    <row r="33" spans="1:13">
      <c r="A33" s="8" t="s">
        <v>43</v>
      </c>
      <c r="B33" s="7" t="s">
        <v>159</v>
      </c>
      <c r="C33" t="s">
        <v>162</v>
      </c>
      <c r="E33" t="s">
        <v>90</v>
      </c>
      <c r="F33" t="s">
        <v>158</v>
      </c>
      <c r="G33" t="s">
        <v>198</v>
      </c>
      <c r="H33" s="1">
        <v>46059</v>
      </c>
      <c r="I33" s="1">
        <v>46063</v>
      </c>
      <c r="J33" s="10">
        <f t="shared" si="0"/>
        <v>3</v>
      </c>
      <c r="K33" s="1"/>
      <c r="L33" s="1"/>
      <c r="M33" s="10"/>
    </row>
    <row r="34" spans="1:13">
      <c r="A34" s="8" t="s">
        <v>99</v>
      </c>
      <c r="B34" s="7" t="s">
        <v>64</v>
      </c>
      <c r="C34" t="s">
        <v>75</v>
      </c>
      <c r="D34" t="s">
        <v>39</v>
      </c>
      <c r="E34" t="s">
        <v>28</v>
      </c>
      <c r="F34" t="s">
        <v>168</v>
      </c>
      <c r="G34" t="s">
        <v>198</v>
      </c>
      <c r="H34" s="1">
        <v>46062</v>
      </c>
      <c r="I34" s="1">
        <v>46063</v>
      </c>
      <c r="J34" s="10">
        <f t="shared" si="0"/>
        <v>2</v>
      </c>
      <c r="K34" s="1"/>
      <c r="L34" s="1"/>
      <c r="M34" s="10">
        <f t="shared" si="1"/>
        <v>0</v>
      </c>
    </row>
    <row r="35" spans="1:13">
      <c r="A35" s="8" t="s">
        <v>179</v>
      </c>
      <c r="B35" s="7" t="s">
        <v>42</v>
      </c>
      <c r="C35" t="s">
        <v>76</v>
      </c>
      <c r="E35" t="s">
        <v>77</v>
      </c>
      <c r="F35" t="s">
        <v>169</v>
      </c>
      <c r="G35" t="s">
        <v>216</v>
      </c>
      <c r="H35" s="1">
        <v>46062</v>
      </c>
      <c r="I35" s="1">
        <v>46066</v>
      </c>
      <c r="J35" s="10">
        <f t="shared" si="0"/>
        <v>5</v>
      </c>
      <c r="K35" s="1"/>
      <c r="L35" s="1"/>
      <c r="M35" s="10">
        <f t="shared" si="1"/>
        <v>0</v>
      </c>
    </row>
    <row r="36" spans="1:13">
      <c r="A36" s="8" t="s">
        <v>180</v>
      </c>
      <c r="B36" s="7" t="s">
        <v>164</v>
      </c>
      <c r="C36" t="s">
        <v>163</v>
      </c>
      <c r="E36" t="s">
        <v>81</v>
      </c>
      <c r="F36" t="s">
        <v>185</v>
      </c>
      <c r="G36" s="26">
        <v>0</v>
      </c>
      <c r="H36" s="1">
        <v>46063</v>
      </c>
      <c r="I36" s="1">
        <v>46066</v>
      </c>
      <c r="J36" s="10">
        <f t="shared" si="0"/>
        <v>4</v>
      </c>
      <c r="K36" s="1"/>
      <c r="L36" s="1"/>
      <c r="M36" s="10"/>
    </row>
    <row r="37" spans="1:13">
      <c r="A37" s="8">
        <v>3</v>
      </c>
      <c r="B37" s="7" t="s">
        <v>61</v>
      </c>
      <c r="C37" t="s">
        <v>79</v>
      </c>
      <c r="E37" t="s">
        <v>60</v>
      </c>
      <c r="F37" s="26">
        <v>0</v>
      </c>
      <c r="G37" t="s">
        <v>217</v>
      </c>
      <c r="H37" s="1">
        <v>46064</v>
      </c>
      <c r="I37" s="1">
        <v>46066</v>
      </c>
      <c r="J37" s="10">
        <f t="shared" si="0"/>
        <v>3</v>
      </c>
      <c r="K37" s="1"/>
      <c r="L37" s="1"/>
      <c r="M37" s="10">
        <f t="shared" si="1"/>
        <v>0</v>
      </c>
    </row>
    <row r="38" spans="1:13">
      <c r="A38" s="8">
        <v>3.1</v>
      </c>
      <c r="B38" s="7" t="s">
        <v>62</v>
      </c>
      <c r="C38" t="s">
        <v>80</v>
      </c>
      <c r="E38" t="s">
        <v>81</v>
      </c>
      <c r="F38" s="26">
        <v>0</v>
      </c>
      <c r="G38" t="s">
        <v>218</v>
      </c>
      <c r="H38" s="1">
        <v>46072</v>
      </c>
      <c r="I38" s="1">
        <v>46078</v>
      </c>
      <c r="J38" s="10">
        <f t="shared" si="0"/>
        <v>5</v>
      </c>
      <c r="K38" s="1"/>
      <c r="L38" s="1"/>
      <c r="M38" s="10">
        <f t="shared" si="1"/>
        <v>0</v>
      </c>
    </row>
    <row r="39" spans="1:13">
      <c r="A39" s="8">
        <v>4</v>
      </c>
      <c r="B39" s="7" t="s">
        <v>112</v>
      </c>
      <c r="C39" t="s">
        <v>182</v>
      </c>
      <c r="E39" t="s">
        <v>81</v>
      </c>
      <c r="F39" t="s">
        <v>170</v>
      </c>
      <c r="G39" t="s">
        <v>198</v>
      </c>
      <c r="H39" s="1">
        <v>46072</v>
      </c>
      <c r="I39" s="1">
        <v>46078</v>
      </c>
      <c r="J39" s="10">
        <f t="shared" si="0"/>
        <v>5</v>
      </c>
      <c r="K39" s="1"/>
      <c r="L39" s="1"/>
      <c r="M39" s="10"/>
    </row>
    <row r="40" spans="1:13">
      <c r="A40" s="8">
        <v>5</v>
      </c>
      <c r="B40" s="7" t="s">
        <v>44</v>
      </c>
      <c r="C40" s="26">
        <v>0</v>
      </c>
      <c r="E40" t="s">
        <v>8</v>
      </c>
      <c r="F40" t="s">
        <v>173</v>
      </c>
      <c r="G40" t="s">
        <v>219</v>
      </c>
      <c r="H40" s="1">
        <v>46072</v>
      </c>
      <c r="I40" s="1">
        <v>46080</v>
      </c>
      <c r="J40" s="10">
        <f t="shared" si="0"/>
        <v>7</v>
      </c>
      <c r="K40" s="1"/>
      <c r="L40" s="1"/>
      <c r="M40" s="10">
        <f t="shared" si="1"/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 가이드</vt:lpstr>
      <vt:lpstr>WBS_상세업무정리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</cp:lastModifiedBy>
  <dcterms:created xsi:type="dcterms:W3CDTF">2026-01-21T10:11:04Z</dcterms:created>
  <dcterms:modified xsi:type="dcterms:W3CDTF">2026-01-28T00:38:03Z</dcterms:modified>
</cp:coreProperties>
</file>